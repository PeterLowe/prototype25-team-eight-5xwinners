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6" documentId="13_ncr:1_{7C5F5ED7-CE48-4328-8684-3D71107E9B30}" xr6:coauthVersionLast="47" xr6:coauthVersionMax="47" xr10:uidLastSave="{E3122B48-962E-4394-909C-46AD9A2553EE}"/>
  <workbookProtection workbookAlgorithmName="SHA-512" workbookHashValue="e3XNt+Y+1D3+D24i3JY7ZfvaUeJ+Ficv5JqUYqK3GxA1BYB7FHhPYhxuoVdsKOXJwPbSFyACJvbToUlhxA/0dg==" workbookSaltValue="bwSytUchgVbQ5tn7OpDLYQ==" workbookSpinCount="100000" lockStructure="1"/>
  <bookViews>
    <workbookView xWindow="-108" yWindow="-108" windowWidth="23256" windowHeight="12456" xr2:uid="{B114BF61-C9F1-47F8-B51B-C5362F104D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4" i="1"/>
  <c r="R5" i="1"/>
  <c r="S5" i="1"/>
  <c r="R7" i="1"/>
  <c r="R9" i="1"/>
  <c r="S9" i="1"/>
  <c r="R10" i="1"/>
  <c r="S10" i="1"/>
  <c r="R12" i="1"/>
  <c r="S12" i="1"/>
  <c r="S4" i="1"/>
  <c r="R4" i="1"/>
  <c r="Q12" i="1"/>
  <c r="G13" i="1"/>
  <c r="P13" i="1" s="1"/>
  <c r="F13" i="1"/>
  <c r="G12" i="1"/>
  <c r="O12" i="1" s="1"/>
  <c r="F12" i="1"/>
  <c r="G11" i="1"/>
  <c r="Q11" i="1" s="1"/>
  <c r="F11" i="1"/>
  <c r="G10" i="1"/>
  <c r="O10" i="1" s="1"/>
  <c r="F10" i="1"/>
  <c r="G9" i="1"/>
  <c r="O9" i="1" s="1"/>
  <c r="F9" i="1"/>
  <c r="G8" i="1"/>
  <c r="O8" i="1" s="1"/>
  <c r="F8" i="1"/>
  <c r="G7" i="1"/>
  <c r="O7" i="1" s="1"/>
  <c r="F7" i="1"/>
  <c r="G6" i="1"/>
  <c r="O6" i="1" s="1"/>
  <c r="F6" i="1"/>
  <c r="G5" i="1"/>
  <c r="P5" i="1" s="1"/>
  <c r="F5" i="1"/>
  <c r="G4" i="1"/>
  <c r="P4" i="1" s="1"/>
  <c r="F4" i="1"/>
  <c r="G3" i="1"/>
  <c r="C2" i="1"/>
  <c r="S7" i="1" l="1"/>
  <c r="R8" i="1"/>
  <c r="S8" i="1"/>
  <c r="S11" i="1"/>
  <c r="R11" i="1"/>
  <c r="S13" i="1"/>
  <c r="R13" i="1"/>
  <c r="S6" i="1"/>
  <c r="R6" i="1"/>
  <c r="P12" i="1"/>
  <c r="Q10" i="1"/>
  <c r="P10" i="1"/>
  <c r="Q9" i="1"/>
  <c r="O4" i="1"/>
  <c r="P11" i="1"/>
  <c r="Q4" i="1"/>
  <c r="P9" i="1"/>
  <c r="O5" i="1"/>
  <c r="O13" i="1"/>
  <c r="Q13" i="1"/>
  <c r="O11" i="1"/>
  <c r="Q6" i="1"/>
  <c r="P6" i="1"/>
  <c r="Q5" i="1"/>
  <c r="Q8" i="1"/>
  <c r="P8" i="1"/>
  <c r="Q7" i="1"/>
  <c r="P7" i="1"/>
  <c r="G2" i="1"/>
  <c r="F2" i="1" s="1"/>
  <c r="R1" i="1" l="1"/>
  <c r="Q1" i="1"/>
  <c r="P1" i="1"/>
  <c r="O1" i="1"/>
  <c r="S1" i="1"/>
</calcChain>
</file>

<file path=xl/sharedStrings.xml><?xml version="1.0" encoding="utf-8"?>
<sst xmlns="http://schemas.openxmlformats.org/spreadsheetml/2006/main" count="51" uniqueCount="48">
  <si>
    <t>The Ghastly Grab</t>
  </si>
  <si>
    <t>by Team 8 (5xWinners)</t>
  </si>
  <si>
    <t>want 20-30% each</t>
  </si>
  <si>
    <t>A%</t>
  </si>
  <si>
    <t>B%</t>
  </si>
  <si>
    <t>C%</t>
  </si>
  <si>
    <t>D%</t>
  </si>
  <si>
    <t>E%</t>
  </si>
  <si>
    <t>total</t>
  </si>
  <si>
    <t>A</t>
  </si>
  <si>
    <t>B</t>
  </si>
  <si>
    <t>C</t>
  </si>
  <si>
    <t>D</t>
  </si>
  <si>
    <t>E</t>
  </si>
  <si>
    <t>Game Element</t>
  </si>
  <si>
    <t>Suggested Alternative</t>
  </si>
  <si>
    <t>min</t>
  </si>
  <si>
    <t>Value</t>
  </si>
  <si>
    <t>Max</t>
  </si>
  <si>
    <t>Share of Workload</t>
  </si>
  <si>
    <t>Video</t>
  </si>
  <si>
    <t>Visual Asset creation</t>
  </si>
  <si>
    <t>Audio Asset creation</t>
  </si>
  <si>
    <t>Menu system</t>
  </si>
  <si>
    <t>Mode selection</t>
  </si>
  <si>
    <t>HUD</t>
  </si>
  <si>
    <t>Dynamic Visual Feedback</t>
  </si>
  <si>
    <t>Basic Game Play</t>
  </si>
  <si>
    <t>Basic Interactive Content</t>
  </si>
  <si>
    <t>Graphics</t>
  </si>
  <si>
    <t>Basic visuals</t>
  </si>
  <si>
    <t>Advanced game play</t>
  </si>
  <si>
    <t>Dynamic Interaction</t>
  </si>
  <si>
    <t>Project Management</t>
  </si>
  <si>
    <t>Team Co-Ordination</t>
  </si>
  <si>
    <t>Advanced Graphics</t>
  </si>
  <si>
    <t>Advanced visual effects</t>
  </si>
  <si>
    <t>Team Member A</t>
  </si>
  <si>
    <t>Daemon</t>
  </si>
  <si>
    <t>Team Member B</t>
  </si>
  <si>
    <t>Filip</t>
  </si>
  <si>
    <t>Team Member C</t>
  </si>
  <si>
    <t>Kevin</t>
  </si>
  <si>
    <t>Team Member D</t>
  </si>
  <si>
    <t>Marie-Elise</t>
  </si>
  <si>
    <t>Team Member E</t>
  </si>
  <si>
    <t>Padraig</t>
  </si>
  <si>
    <t>Team Member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</si>
</sst>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 applyProtection="1">
      <protection locked="0"/>
    </xf>
    <xf numFmtId="0" fontId="1" fillId="0" borderId="0" xfId="0" applyFont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Protection="1">
      <protection locked="0"/>
    </xf>
    <xf numFmtId="9" fontId="0" fillId="0" borderId="0" xfId="1" applyFont="1"/>
    <xf numFmtId="9" fontId="3" fillId="0" borderId="0" xfId="1" applyFont="1"/>
    <xf numFmtId="9" fontId="4" fillId="2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E6D3-2084-479B-AB85-13952D070B1F}">
  <dimension ref="A1:U20"/>
  <sheetViews>
    <sheetView tabSelected="1" topLeftCell="B1" zoomScale="118" zoomScaleNormal="210" workbookViewId="0">
      <selection activeCell="K6" sqref="K6"/>
    </sheetView>
  </sheetViews>
  <sheetFormatPr defaultRowHeight="14.45"/>
  <cols>
    <col min="1" max="2" width="23.140625" customWidth="1"/>
    <col min="6" max="6" width="5.7109375" customWidth="1"/>
    <col min="7" max="7" width="7.140625" customWidth="1"/>
    <col min="8" max="12" width="4.28515625" customWidth="1"/>
    <col min="15" max="19" width="3.85546875" customWidth="1"/>
  </cols>
  <sheetData>
    <row r="1" spans="1:21">
      <c r="A1" s="1" t="s">
        <v>0</v>
      </c>
      <c r="B1" s="1" t="s">
        <v>1</v>
      </c>
      <c r="O1" s="8">
        <f>SUM(O4:O13)</f>
        <v>0.20250000000000001</v>
      </c>
      <c r="P1" s="8">
        <f t="shared" ref="P1:S1" si="0">SUM(P4:P13)</f>
        <v>0.20249999999999999</v>
      </c>
      <c r="Q1" s="8">
        <f t="shared" si="0"/>
        <v>0.19750000000000001</v>
      </c>
      <c r="R1" s="8">
        <f t="shared" ref="R1" si="1">SUM(R4:R13)</f>
        <v>0.19999999999999998</v>
      </c>
      <c r="S1" s="8">
        <f t="shared" si="0"/>
        <v>0.19750000000000001</v>
      </c>
      <c r="U1" t="s">
        <v>2</v>
      </c>
    </row>
    <row r="2" spans="1:21">
      <c r="C2">
        <f>SUM(C4:C23)</f>
        <v>50</v>
      </c>
      <c r="F2" t="str">
        <f>IF(G2 &gt; 100,"error","ok")</f>
        <v>ok</v>
      </c>
      <c r="G2" s="2">
        <f>SUM(G4:G23)</f>
        <v>100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</row>
    <row r="3" spans="1:2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/>
      <c r="G3" s="2" t="str">
        <f>D3</f>
        <v>Value</v>
      </c>
      <c r="O3" t="s">
        <v>19</v>
      </c>
    </row>
    <row r="4" spans="1:21">
      <c r="A4" t="s">
        <v>20</v>
      </c>
      <c r="B4" t="s">
        <v>20</v>
      </c>
      <c r="C4">
        <v>5</v>
      </c>
      <c r="D4" s="5">
        <v>5</v>
      </c>
      <c r="E4">
        <v>5</v>
      </c>
      <c r="F4" t="str">
        <f t="shared" ref="F4:F13" si="2">IF(OR(C4&gt;D4, E4&lt;D4),"error","ok")</f>
        <v>ok</v>
      </c>
      <c r="G4">
        <f t="shared" ref="G4:G13" si="3">D4</f>
        <v>5</v>
      </c>
      <c r="H4" s="9">
        <v>0.2</v>
      </c>
      <c r="I4" s="9">
        <v>0.6</v>
      </c>
      <c r="J4" s="9">
        <v>0.1</v>
      </c>
      <c r="K4" s="9">
        <v>0.1</v>
      </c>
      <c r="L4" s="9"/>
      <c r="M4" s="7">
        <f>IF(SUM(H4:L4)&lt;=1,SUM(H4:L4),"error")</f>
        <v>1</v>
      </c>
      <c r="O4" s="8">
        <f>(H4*IF($N4&gt;0,$N4,$G4)/100)</f>
        <v>0.01</v>
      </c>
      <c r="P4" s="8">
        <f>(I4*IF($N4&gt;0,$N4,$G4)/100)</f>
        <v>0.03</v>
      </c>
      <c r="Q4" s="8">
        <f>(J4*IF($N4&gt;0,$N4,$G4)/100)</f>
        <v>5.0000000000000001E-3</v>
      </c>
      <c r="R4" s="8">
        <f>(K4*IF($N4&gt;0,$N4,$G4)/100)</f>
        <v>5.0000000000000001E-3</v>
      </c>
      <c r="S4" s="8">
        <f>(L4*IF($N4&gt;0,$N4,$G4)/100)</f>
        <v>0</v>
      </c>
    </row>
    <row r="5" spans="1:21">
      <c r="A5" t="s">
        <v>21</v>
      </c>
      <c r="B5" t="s">
        <v>21</v>
      </c>
      <c r="C5">
        <v>0</v>
      </c>
      <c r="D5" s="6">
        <v>20</v>
      </c>
      <c r="E5">
        <v>25</v>
      </c>
      <c r="F5" t="str">
        <f t="shared" si="2"/>
        <v>ok</v>
      </c>
      <c r="G5">
        <f t="shared" si="3"/>
        <v>20</v>
      </c>
      <c r="H5" s="9">
        <v>0.15</v>
      </c>
      <c r="I5" s="9">
        <v>0.35</v>
      </c>
      <c r="J5" s="9"/>
      <c r="K5" s="9">
        <v>0.4</v>
      </c>
      <c r="L5" s="9">
        <v>0.1</v>
      </c>
      <c r="M5" s="7">
        <f t="shared" ref="M5:M13" si="4">IF(SUM(H5:L5)&lt;=1,SUM(H5:L5),"error")</f>
        <v>1</v>
      </c>
      <c r="O5" s="8">
        <f t="shared" ref="O5:O13" si="5">(H5*IF($N5&gt;0,$N5,$G5)/100)</f>
        <v>0.03</v>
      </c>
      <c r="P5" s="8">
        <f t="shared" ref="P5:P13" si="6">(I5*IF($N5&gt;0,$N5,$G5)/100)</f>
        <v>7.0000000000000007E-2</v>
      </c>
      <c r="Q5" s="8">
        <f t="shared" ref="Q5:Q13" si="7">(J5*IF($N5&gt;0,$N5,$G5)/100)</f>
        <v>0</v>
      </c>
      <c r="R5" s="8">
        <f t="shared" ref="R5:R13" si="8">(K5*IF($N5&gt;0,$N5,$G5)/100)</f>
        <v>0.08</v>
      </c>
      <c r="S5" s="8">
        <f t="shared" ref="S5:S13" si="9">(L5*IF($N5&gt;0,$N5,$G5)/100)</f>
        <v>0.02</v>
      </c>
    </row>
    <row r="6" spans="1:21">
      <c r="A6" t="s">
        <v>22</v>
      </c>
      <c r="B6" t="s">
        <v>22</v>
      </c>
      <c r="C6">
        <v>0</v>
      </c>
      <c r="D6" s="6">
        <v>5</v>
      </c>
      <c r="E6">
        <v>5</v>
      </c>
      <c r="F6" t="str">
        <f t="shared" si="2"/>
        <v>ok</v>
      </c>
      <c r="G6">
        <f t="shared" si="3"/>
        <v>5</v>
      </c>
      <c r="H6" s="9">
        <v>0.15</v>
      </c>
      <c r="I6" s="9">
        <v>0.15</v>
      </c>
      <c r="J6" s="9">
        <v>0.55000000000000004</v>
      </c>
      <c r="K6" s="9"/>
      <c r="L6" s="9">
        <v>0.15</v>
      </c>
      <c r="M6" s="7">
        <f t="shared" si="4"/>
        <v>1</v>
      </c>
      <c r="O6" s="8">
        <f t="shared" si="5"/>
        <v>7.4999999999999997E-3</v>
      </c>
      <c r="P6" s="8">
        <f t="shared" si="6"/>
        <v>7.4999999999999997E-3</v>
      </c>
      <c r="Q6" s="8">
        <f t="shared" si="7"/>
        <v>2.75E-2</v>
      </c>
      <c r="R6" s="8">
        <f t="shared" si="8"/>
        <v>0</v>
      </c>
      <c r="S6" s="8">
        <f t="shared" si="9"/>
        <v>7.4999999999999997E-3</v>
      </c>
    </row>
    <row r="7" spans="1:21">
      <c r="A7" t="s">
        <v>23</v>
      </c>
      <c r="B7" s="3" t="s">
        <v>24</v>
      </c>
      <c r="C7">
        <v>0</v>
      </c>
      <c r="D7" s="6">
        <v>5</v>
      </c>
      <c r="E7">
        <v>15</v>
      </c>
      <c r="F7" t="str">
        <f t="shared" si="2"/>
        <v>ok</v>
      </c>
      <c r="G7">
        <f t="shared" si="3"/>
        <v>5</v>
      </c>
      <c r="H7" s="9">
        <v>0.5</v>
      </c>
      <c r="I7" s="9"/>
      <c r="J7" s="9"/>
      <c r="K7" s="9"/>
      <c r="L7" s="9">
        <v>0.5</v>
      </c>
      <c r="M7" s="7">
        <f t="shared" si="4"/>
        <v>1</v>
      </c>
      <c r="O7" s="8">
        <f t="shared" si="5"/>
        <v>2.5000000000000001E-2</v>
      </c>
      <c r="P7" s="8">
        <f t="shared" si="6"/>
        <v>0</v>
      </c>
      <c r="Q7" s="8">
        <f t="shared" si="7"/>
        <v>0</v>
      </c>
      <c r="R7" s="8">
        <f t="shared" si="8"/>
        <v>0</v>
      </c>
      <c r="S7" s="8">
        <f t="shared" si="9"/>
        <v>2.5000000000000001E-2</v>
      </c>
    </row>
    <row r="8" spans="1:21">
      <c r="A8" t="s">
        <v>25</v>
      </c>
      <c r="B8" t="s">
        <v>26</v>
      </c>
      <c r="C8">
        <v>0</v>
      </c>
      <c r="D8" s="6">
        <v>10</v>
      </c>
      <c r="E8">
        <v>15</v>
      </c>
      <c r="F8" t="str">
        <f t="shared" si="2"/>
        <v>ok</v>
      </c>
      <c r="G8">
        <f t="shared" si="3"/>
        <v>10</v>
      </c>
      <c r="H8" s="9">
        <v>0.5</v>
      </c>
      <c r="I8" s="9"/>
      <c r="J8" s="9">
        <v>0.4</v>
      </c>
      <c r="K8" s="9">
        <v>0.05</v>
      </c>
      <c r="L8" s="9">
        <v>0.05</v>
      </c>
      <c r="M8" s="7">
        <f t="shared" si="4"/>
        <v>1</v>
      </c>
      <c r="O8" s="8">
        <f t="shared" si="5"/>
        <v>0.05</v>
      </c>
      <c r="P8" s="8">
        <f t="shared" si="6"/>
        <v>0</v>
      </c>
      <c r="Q8" s="8">
        <f t="shared" si="7"/>
        <v>0.04</v>
      </c>
      <c r="R8" s="8">
        <f t="shared" si="8"/>
        <v>5.0000000000000001E-3</v>
      </c>
      <c r="S8" s="8">
        <f t="shared" si="9"/>
        <v>5.0000000000000001E-3</v>
      </c>
    </row>
    <row r="9" spans="1:21">
      <c r="A9" t="s">
        <v>27</v>
      </c>
      <c r="B9" t="s">
        <v>28</v>
      </c>
      <c r="C9">
        <v>20</v>
      </c>
      <c r="D9" s="5">
        <v>20</v>
      </c>
      <c r="E9">
        <v>20</v>
      </c>
      <c r="F9" t="str">
        <f t="shared" si="2"/>
        <v>ok</v>
      </c>
      <c r="G9">
        <f t="shared" si="3"/>
        <v>20</v>
      </c>
      <c r="H9" s="9"/>
      <c r="I9" s="9">
        <v>0.05</v>
      </c>
      <c r="J9" s="9">
        <v>0.1</v>
      </c>
      <c r="K9" s="9">
        <v>0.45</v>
      </c>
      <c r="L9" s="9">
        <v>0.4</v>
      </c>
      <c r="M9" s="7">
        <f t="shared" si="4"/>
        <v>1</v>
      </c>
      <c r="O9" s="8">
        <f t="shared" si="5"/>
        <v>0</v>
      </c>
      <c r="P9" s="8">
        <f t="shared" si="6"/>
        <v>0.01</v>
      </c>
      <c r="Q9" s="8">
        <f t="shared" si="7"/>
        <v>0.02</v>
      </c>
      <c r="R9" s="8">
        <f t="shared" si="8"/>
        <v>0.09</v>
      </c>
      <c r="S9" s="8">
        <f t="shared" si="9"/>
        <v>0.08</v>
      </c>
    </row>
    <row r="10" spans="1:21">
      <c r="A10" t="s">
        <v>29</v>
      </c>
      <c r="B10" t="s">
        <v>30</v>
      </c>
      <c r="C10">
        <v>20</v>
      </c>
      <c r="D10" s="5">
        <v>20</v>
      </c>
      <c r="E10">
        <v>20</v>
      </c>
      <c r="F10" t="str">
        <f t="shared" si="2"/>
        <v>ok</v>
      </c>
      <c r="G10">
        <f t="shared" si="3"/>
        <v>20</v>
      </c>
      <c r="H10" s="9">
        <v>0.4</v>
      </c>
      <c r="I10" s="9">
        <v>0.3</v>
      </c>
      <c r="J10" s="9">
        <v>0.1</v>
      </c>
      <c r="K10" s="9">
        <v>0.1</v>
      </c>
      <c r="L10" s="9">
        <v>0.1</v>
      </c>
      <c r="M10" s="7">
        <f t="shared" si="4"/>
        <v>0.99999999999999989</v>
      </c>
      <c r="O10" s="8">
        <f t="shared" si="5"/>
        <v>0.08</v>
      </c>
      <c r="P10" s="8">
        <f t="shared" si="6"/>
        <v>0.06</v>
      </c>
      <c r="Q10" s="8">
        <f t="shared" si="7"/>
        <v>0.02</v>
      </c>
      <c r="R10" s="8">
        <f t="shared" si="8"/>
        <v>0.02</v>
      </c>
      <c r="S10" s="8">
        <f t="shared" si="9"/>
        <v>0.02</v>
      </c>
    </row>
    <row r="11" spans="1:21">
      <c r="A11" t="s">
        <v>31</v>
      </c>
      <c r="B11" t="s">
        <v>32</v>
      </c>
      <c r="C11">
        <v>0</v>
      </c>
      <c r="D11" s="6">
        <v>10</v>
      </c>
      <c r="E11">
        <v>20</v>
      </c>
      <c r="F11" t="str">
        <f t="shared" si="2"/>
        <v>ok</v>
      </c>
      <c r="G11">
        <f t="shared" si="3"/>
        <v>10</v>
      </c>
      <c r="H11" s="9"/>
      <c r="I11" s="9">
        <v>0.25</v>
      </c>
      <c r="J11" s="9">
        <v>0.35</v>
      </c>
      <c r="K11" s="9"/>
      <c r="L11" s="9">
        <v>0.4</v>
      </c>
      <c r="M11" s="7">
        <f t="shared" si="4"/>
        <v>1</v>
      </c>
      <c r="O11" s="8">
        <f t="shared" si="5"/>
        <v>0</v>
      </c>
      <c r="P11" s="8">
        <f t="shared" si="6"/>
        <v>2.5000000000000001E-2</v>
      </c>
      <c r="Q11" s="8">
        <f t="shared" si="7"/>
        <v>3.5000000000000003E-2</v>
      </c>
      <c r="R11" s="8">
        <f t="shared" si="8"/>
        <v>0</v>
      </c>
      <c r="S11" s="8">
        <f t="shared" si="9"/>
        <v>0.04</v>
      </c>
    </row>
    <row r="12" spans="1:21">
      <c r="A12" t="s">
        <v>33</v>
      </c>
      <c r="B12" t="s">
        <v>34</v>
      </c>
      <c r="C12">
        <v>5</v>
      </c>
      <c r="D12" s="5">
        <v>5</v>
      </c>
      <c r="E12">
        <v>5</v>
      </c>
      <c r="F12" t="str">
        <f t="shared" si="2"/>
        <v>ok</v>
      </c>
      <c r="G12">
        <f t="shared" si="3"/>
        <v>5</v>
      </c>
      <c r="H12" s="9"/>
      <c r="I12" s="9"/>
      <c r="J12" s="9">
        <v>1</v>
      </c>
      <c r="K12" s="9"/>
      <c r="L12" s="9"/>
      <c r="M12" s="7">
        <f t="shared" si="4"/>
        <v>1</v>
      </c>
      <c r="O12" s="8">
        <f t="shared" si="5"/>
        <v>0</v>
      </c>
      <c r="P12" s="8">
        <f t="shared" si="6"/>
        <v>0</v>
      </c>
      <c r="Q12" s="8">
        <f t="shared" si="7"/>
        <v>0.05</v>
      </c>
      <c r="R12" s="8">
        <f t="shared" si="8"/>
        <v>0</v>
      </c>
      <c r="S12" s="8">
        <f t="shared" si="9"/>
        <v>0</v>
      </c>
    </row>
    <row r="13" spans="1:21">
      <c r="A13" t="s">
        <v>35</v>
      </c>
      <c r="B13" t="s">
        <v>36</v>
      </c>
      <c r="C13">
        <v>0</v>
      </c>
      <c r="D13" s="6">
        <v>0</v>
      </c>
      <c r="E13">
        <v>20</v>
      </c>
      <c r="F13" t="str">
        <f t="shared" si="2"/>
        <v>ok</v>
      </c>
      <c r="G13">
        <f t="shared" si="3"/>
        <v>0</v>
      </c>
      <c r="H13" s="9"/>
      <c r="I13" s="9"/>
      <c r="J13" s="9"/>
      <c r="K13" s="9"/>
      <c r="L13" s="9"/>
      <c r="M13" s="7">
        <f t="shared" si="4"/>
        <v>0</v>
      </c>
      <c r="O13" s="8">
        <f t="shared" si="5"/>
        <v>0</v>
      </c>
      <c r="P13" s="8">
        <f t="shared" si="6"/>
        <v>0</v>
      </c>
      <c r="Q13" s="8">
        <f t="shared" si="7"/>
        <v>0</v>
      </c>
      <c r="R13" s="8">
        <f t="shared" si="8"/>
        <v>0</v>
      </c>
      <c r="S13" s="8">
        <f t="shared" si="9"/>
        <v>0</v>
      </c>
    </row>
    <row r="15" spans="1:21">
      <c r="A15" t="s">
        <v>37</v>
      </c>
      <c r="B15" s="4" t="s">
        <v>38</v>
      </c>
    </row>
    <row r="16" spans="1:21">
      <c r="A16" t="s">
        <v>39</v>
      </c>
      <c r="B16" s="4" t="s">
        <v>40</v>
      </c>
    </row>
    <row r="17" spans="1:2">
      <c r="A17" t="s">
        <v>41</v>
      </c>
      <c r="B17" s="4" t="s">
        <v>42</v>
      </c>
    </row>
    <row r="18" spans="1:2">
      <c r="A18" t="s">
        <v>43</v>
      </c>
      <c r="B18" s="4" t="s">
        <v>44</v>
      </c>
    </row>
    <row r="19" spans="1:2">
      <c r="A19" t="s">
        <v>45</v>
      </c>
      <c r="B19" s="4" t="s">
        <v>46</v>
      </c>
    </row>
    <row r="20" spans="1:2">
      <c r="A20" t="s">
        <v>47</v>
      </c>
    </row>
  </sheetData>
  <sheetProtection algorithmName="SHA-512" hashValue="ONHXHO140Ead3JRcLeAM/5P/mgNYYJ/JIaI2tGOSrPnytIf61wuzlCBXfMlvmWKxuirjGyNSS4acYYKadph8Mw==" saltValue="xqxEspeinycGQwwWlq+9mg==" spinCount="100000" sheet="1" objects="1" scenarios="1"/>
  <protectedRanges>
    <protectedRange sqref="B15:B19" name="Range2"/>
    <protectedRange sqref="H4:L13" name="Range1"/>
  </protectedRange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profilesetup</dc:creator>
  <cp:keywords/>
  <dc:description/>
  <cp:lastModifiedBy>(Student  C00313609) Kevin Michael</cp:lastModifiedBy>
  <cp:revision/>
  <dcterms:created xsi:type="dcterms:W3CDTF">2022-02-04T12:40:15Z</dcterms:created>
  <dcterms:modified xsi:type="dcterms:W3CDTF">2025-04-29T08:58:34Z</dcterms:modified>
  <cp:category/>
  <cp:contentStatus/>
</cp:coreProperties>
</file>